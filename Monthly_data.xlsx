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n\OneDrive\Desktop\"/>
    </mc:Choice>
  </mc:AlternateContent>
  <xr:revisionPtr revIDLastSave="0" documentId="8_{9649E786-27EA-44B4-ABFD-4EA5E9DA61E4}" xr6:coauthVersionLast="47" xr6:coauthVersionMax="47" xr10:uidLastSave="{00000000-0000-0000-0000-000000000000}"/>
  <bookViews>
    <workbookView xWindow="-108" yWindow="-108" windowWidth="23256" windowHeight="12456" activeTab="2" xr2:uid="{8B82598A-3A77-4212-996D-A4692F450CE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1" l="1"/>
  <c r="V7" i="1"/>
  <c r="V6" i="1"/>
  <c r="V5" i="1"/>
  <c r="V4" i="1"/>
  <c r="V3" i="1"/>
  <c r="V2" i="1"/>
  <c r="S13" i="1"/>
  <c r="T7" i="1"/>
  <c r="T6" i="1"/>
  <c r="T5" i="1"/>
  <c r="T4" i="1"/>
  <c r="T3" i="1"/>
  <c r="T2" i="1"/>
  <c r="Q13" i="1"/>
  <c r="R7" i="1"/>
  <c r="R6" i="1"/>
  <c r="R5" i="1"/>
  <c r="R4" i="1"/>
  <c r="R3" i="1"/>
  <c r="R2" i="1"/>
  <c r="O13" i="1"/>
  <c r="P7" i="1"/>
  <c r="P6" i="1"/>
  <c r="P5" i="1"/>
  <c r="P4" i="1"/>
  <c r="P3" i="1"/>
  <c r="P2" i="1"/>
  <c r="M13" i="1"/>
  <c r="N7" i="1"/>
  <c r="N6" i="1"/>
  <c r="N5" i="1"/>
  <c r="N4" i="1"/>
  <c r="N3" i="1"/>
  <c r="N2" i="1"/>
  <c r="K13" i="1"/>
  <c r="L7" i="1"/>
  <c r="L6" i="1"/>
  <c r="L5" i="1"/>
  <c r="L4" i="1"/>
  <c r="L3" i="1"/>
  <c r="L2" i="1"/>
  <c r="J7" i="1"/>
  <c r="J6" i="1"/>
  <c r="J5" i="1"/>
  <c r="J4" i="1"/>
  <c r="I13" i="1" s="1"/>
  <c r="J3" i="1"/>
  <c r="J2" i="1"/>
  <c r="H7" i="1"/>
  <c r="H6" i="1"/>
  <c r="H5" i="1"/>
  <c r="H4" i="1"/>
  <c r="H3" i="1"/>
  <c r="G13" i="1" s="1"/>
  <c r="H2" i="1"/>
  <c r="F7" i="1"/>
  <c r="F6" i="1"/>
  <c r="F5" i="1"/>
  <c r="F4" i="1"/>
  <c r="F3" i="1"/>
  <c r="F2" i="1"/>
  <c r="E13" i="1" s="1"/>
  <c r="D7" i="1"/>
  <c r="D6" i="1"/>
  <c r="D5" i="1"/>
  <c r="D4" i="1"/>
  <c r="D3" i="1"/>
  <c r="D2" i="1"/>
  <c r="C13" i="1" s="1"/>
  <c r="P18" i="2"/>
  <c r="P17" i="2"/>
  <c r="P16" i="2"/>
  <c r="P15" i="2"/>
  <c r="P14" i="2"/>
  <c r="P13" i="2"/>
  <c r="N18" i="2"/>
  <c r="N17" i="2"/>
  <c r="N16" i="2"/>
  <c r="N15" i="2"/>
  <c r="N14" i="2"/>
  <c r="N13" i="2"/>
  <c r="L18" i="2"/>
  <c r="L17" i="2"/>
  <c r="L16" i="2"/>
  <c r="L15" i="2"/>
  <c r="L14" i="2"/>
  <c r="L13" i="2"/>
  <c r="J18" i="2"/>
  <c r="J17" i="2"/>
  <c r="J16" i="2"/>
  <c r="J15" i="2"/>
  <c r="J14" i="2"/>
  <c r="J13" i="2"/>
  <c r="H18" i="2"/>
  <c r="H17" i="2"/>
  <c r="H16" i="2"/>
  <c r="H15" i="2"/>
  <c r="H14" i="2"/>
  <c r="H13" i="2"/>
  <c r="F18" i="2"/>
  <c r="F17" i="2"/>
  <c r="F16" i="2"/>
  <c r="F15" i="2"/>
  <c r="F14" i="2"/>
  <c r="F13" i="2"/>
  <c r="D18" i="2"/>
  <c r="D17" i="2"/>
  <c r="D16" i="2"/>
  <c r="D15" i="2"/>
  <c r="D14" i="2"/>
  <c r="D13" i="2"/>
</calcChain>
</file>

<file path=xl/sharedStrings.xml><?xml version="1.0" encoding="utf-8"?>
<sst xmlns="http://schemas.openxmlformats.org/spreadsheetml/2006/main" count="64" uniqueCount="35">
  <si>
    <t>Orders_Date</t>
  </si>
  <si>
    <t>Actual</t>
  </si>
  <si>
    <t>SimpleExpSmoothing</t>
  </si>
  <si>
    <t>Holt</t>
  </si>
  <si>
    <t>Holt-Winter</t>
  </si>
  <si>
    <t>SARIMA</t>
  </si>
  <si>
    <t>Prophet</t>
  </si>
  <si>
    <t>NBEATS</t>
  </si>
  <si>
    <t>NHiTS</t>
  </si>
  <si>
    <t>TiDE</t>
  </si>
  <si>
    <t xml:space="preserve">Dlinear </t>
  </si>
  <si>
    <t>MAPE</t>
  </si>
  <si>
    <t>Linear Regression</t>
  </si>
  <si>
    <t>Order_Date</t>
  </si>
  <si>
    <t>SimpleExp and Prophet</t>
  </si>
  <si>
    <t>SimpleExp and Holt</t>
  </si>
  <si>
    <t>SimpleExp and Holt winter</t>
  </si>
  <si>
    <t>SimpleExp and SARIMA</t>
  </si>
  <si>
    <t>Holt and Prophet</t>
  </si>
  <si>
    <t>Holt and Holt Winter</t>
  </si>
  <si>
    <t>Prophet and Holt-winter</t>
  </si>
  <si>
    <t>S:NO:</t>
  </si>
  <si>
    <t>Models</t>
  </si>
  <si>
    <t>Mean Absolute Error</t>
  </si>
  <si>
    <t>Mean Absolute Percentage Error</t>
  </si>
  <si>
    <t>MSE</t>
  </si>
  <si>
    <t>RMSE</t>
  </si>
  <si>
    <t>Symmetric Mean Absolute Percentage Error</t>
  </si>
  <si>
    <t>Simple Exponential Smoothing</t>
  </si>
  <si>
    <t>Holt Winter</t>
  </si>
  <si>
    <t>NBEATS Model</t>
  </si>
  <si>
    <t>NHITS Model</t>
  </si>
  <si>
    <t>DLinear Model</t>
  </si>
  <si>
    <t>MAE</t>
  </si>
  <si>
    <t>SMAPE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</si>
</sst>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right" vertical="center"/>
    </xf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50AA-8C74-4050-98EE-3A8EA042E189}">
  <dimension ref="A1:V13"/>
  <sheetViews>
    <sheetView topLeftCell="J1" zoomScaleNormal="100" workbookViewId="0">
      <selection activeCell="U13" sqref="U13"/>
    </sheetView>
  </sheetViews>
  <sheetFormatPr defaultRowHeight="14.4" x14ac:dyDescent="0.3"/>
  <cols>
    <col min="1" max="1" width="14" customWidth="1"/>
    <col min="2" max="2" width="13.109375" customWidth="1"/>
    <col min="3" max="3" width="17.33203125" customWidth="1"/>
    <col min="4" max="4" width="14.109375" customWidth="1"/>
    <col min="5" max="5" width="15.109375" customWidth="1"/>
    <col min="6" max="6" width="15.5546875" customWidth="1"/>
    <col min="7" max="7" width="15.109375" customWidth="1"/>
    <col min="8" max="8" width="14" customWidth="1"/>
    <col min="9" max="9" width="14.5546875" customWidth="1"/>
    <col min="10" max="10" width="13.77734375" customWidth="1"/>
    <col min="11" max="12" width="13.21875" customWidth="1"/>
    <col min="13" max="14" width="14.5546875" customWidth="1"/>
    <col min="15" max="15" width="15.44140625" customWidth="1"/>
    <col min="16" max="16" width="15.33203125" customWidth="1"/>
    <col min="17" max="18" width="14.6640625" customWidth="1"/>
    <col min="19" max="19" width="12" bestFit="1" customWidth="1"/>
    <col min="20" max="20" width="18.21875" customWidth="1"/>
    <col min="21" max="21" width="18.5546875" customWidth="1"/>
    <col min="22" max="22" width="16.109375" customWidth="1"/>
  </cols>
  <sheetData>
    <row r="1" spans="1:22" x14ac:dyDescent="0.3">
      <c r="A1" t="s">
        <v>0</v>
      </c>
      <c r="B1" s="4" t="s">
        <v>1</v>
      </c>
      <c r="C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  <c r="S1" t="s">
        <v>10</v>
      </c>
      <c r="U1" t="s">
        <v>12</v>
      </c>
    </row>
    <row r="2" spans="1:22" x14ac:dyDescent="0.3">
      <c r="A2" s="2">
        <v>45231</v>
      </c>
      <c r="B2" s="1">
        <v>349500</v>
      </c>
      <c r="C2">
        <v>286142.12799399998</v>
      </c>
      <c r="D2" s="7">
        <f>(ABS(B2-C2)/(ABS(B2)+ABS(C2)))*2</f>
        <v>0.19935076426085488</v>
      </c>
      <c r="E2">
        <v>268466.41677900002</v>
      </c>
      <c r="F2" s="3">
        <f>(ABS(B2-E2)/(ABS(B2)+ABS(C2)))*2</f>
        <v>0.2549660560628067</v>
      </c>
      <c r="G2" s="3">
        <v>261814.26410500001</v>
      </c>
      <c r="H2" s="3">
        <f>(ABS(B2-G2)/(ABS(B2)+ABS(G2)))*2</f>
        <v>0.2868761324369784</v>
      </c>
      <c r="I2">
        <v>326367.61407499999</v>
      </c>
      <c r="J2">
        <f>(ABS(B2-I2)/(ABS(B2)+ABS(I2)))*2</f>
        <v>6.8452417139883981E-2</v>
      </c>
      <c r="K2">
        <v>277156.60854599997</v>
      </c>
      <c r="L2">
        <f>(ABS(B2-K2)/(ABS(B2)+ABS(K2)))*2</f>
        <v>0.2308868699936151</v>
      </c>
      <c r="M2">
        <v>183271.73455200001</v>
      </c>
      <c r="N2">
        <f>(ABS(B2-M2)/(ABS(B2)+ABS(M2)))*2</f>
        <v>0.62401307977713549</v>
      </c>
      <c r="O2">
        <v>182556.45692500001</v>
      </c>
      <c r="P2">
        <f>((ABS(B2-O2)/(ABS(B2)+ABS(O2))))*2</f>
        <v>0.62754070889335245</v>
      </c>
      <c r="Q2">
        <v>180907.73756000001</v>
      </c>
      <c r="R2">
        <f>(ABS(B2-Q2)/(ABS(B2)+ABS(Q2)))*2</f>
        <v>0.63570815620286358</v>
      </c>
      <c r="S2">
        <v>214169.635797</v>
      </c>
      <c r="T2">
        <f>(ABS(B2-S2)/(ABS(B2)+ABS(S2)))*2</f>
        <v>0.48017617273866381</v>
      </c>
      <c r="U2">
        <v>205062.11018600001</v>
      </c>
      <c r="V2">
        <f>(ABS(B2-U2)/(ABS(B2)+ABS(U2)))*2</f>
        <v>0.52090789168973539</v>
      </c>
    </row>
    <row r="3" spans="1:22" x14ac:dyDescent="0.3">
      <c r="A3" s="2">
        <v>45261</v>
      </c>
      <c r="B3" s="1">
        <v>237928</v>
      </c>
      <c r="C3">
        <v>303755.08554399997</v>
      </c>
      <c r="D3" s="7">
        <f t="shared" ref="D3:D7" si="0">(ABS(B3-C3)/(ABS(B3)+ABS(C3)))*2</f>
        <v>0.24304648714622992</v>
      </c>
      <c r="E3" s="3">
        <v>293604.01544300001</v>
      </c>
      <c r="F3" s="3">
        <f t="shared" ref="F3:F7" si="1">(ABS(B3-E3)/(ABS(B3)+ABS(C3)))*2</f>
        <v>0.20556674900448799</v>
      </c>
      <c r="G3" s="3">
        <v>236334.24663099999</v>
      </c>
      <c r="H3" s="3">
        <f t="shared" ref="H3:H7" si="2">(ABS(B3-G3)/(ABS(B3)+ABS(G3)))*2</f>
        <v>6.7209792907679351E-3</v>
      </c>
      <c r="I3">
        <v>325566.378838</v>
      </c>
      <c r="J3">
        <f t="shared" ref="J3:J7" si="3">(ABS(B3-I3)/(ABS(B3)+ABS(I3)))*2</f>
        <v>0.31105324961261172</v>
      </c>
      <c r="K3">
        <v>296432.22966100002</v>
      </c>
      <c r="L3">
        <f t="shared" ref="L3:L7" si="4">(ABS(B3-K3)/(ABS(B3)+ABS(K3)))*2</f>
        <v>0.21896925112901949</v>
      </c>
      <c r="M3">
        <v>266178.73736199999</v>
      </c>
      <c r="N3">
        <f t="shared" ref="N3:N7" si="5">(ABS(B3-M3)/(ABS(B3)+ABS(M3)))*2</f>
        <v>0.11208236378603716</v>
      </c>
      <c r="O3">
        <v>269989.38689000002</v>
      </c>
      <c r="P3">
        <f t="shared" ref="P3:P7" si="6">((ABS(B3-O3)/(ABS(B3)+ABS(O3))))*2</f>
        <v>0.12624646337197973</v>
      </c>
      <c r="Q3">
        <v>264293.07075499999</v>
      </c>
      <c r="R3">
        <f t="shared" ref="R3:R7" si="7">(ABS(B3-Q3)/(ABS(B3)+ABS(Q3)))*2</f>
        <v>0.10499388532370735</v>
      </c>
      <c r="S3">
        <v>269704.076749</v>
      </c>
      <c r="T3">
        <f t="shared" ref="T3:T7" si="8">(ABS(B3-S3)/(ABS(B3)+ABS(S3)))*2</f>
        <v>0.12519333668786956</v>
      </c>
      <c r="U3">
        <v>373716.68484599999</v>
      </c>
      <c r="V3">
        <f t="shared" ref="V3:V7" si="9">(ABS(B3-U3)/(ABS(B3)+ABS(U3)))*2</f>
        <v>0.44401165647401603</v>
      </c>
    </row>
    <row r="4" spans="1:22" x14ac:dyDescent="0.3">
      <c r="A4" s="2">
        <v>45292</v>
      </c>
      <c r="B4" s="1">
        <v>302400</v>
      </c>
      <c r="C4">
        <v>285827.36715200002</v>
      </c>
      <c r="D4" s="7">
        <f t="shared" si="0"/>
        <v>5.6347711016028097E-2</v>
      </c>
      <c r="E4" s="3">
        <v>287959.839676</v>
      </c>
      <c r="F4" s="3">
        <f t="shared" si="1"/>
        <v>4.9097206727780847E-2</v>
      </c>
      <c r="G4" s="3">
        <v>244304.948748</v>
      </c>
      <c r="H4" s="3">
        <f t="shared" si="2"/>
        <v>0.21252798748225174</v>
      </c>
      <c r="I4">
        <v>219222.81861700001</v>
      </c>
      <c r="J4">
        <f t="shared" si="3"/>
        <v>0.31891695843955242</v>
      </c>
      <c r="K4">
        <v>284386.00310700003</v>
      </c>
      <c r="L4">
        <f t="shared" si="4"/>
        <v>6.1398863632114054E-2</v>
      </c>
      <c r="M4">
        <v>291319.66493799997</v>
      </c>
      <c r="N4">
        <f t="shared" si="5"/>
        <v>3.7325140858041499E-2</v>
      </c>
      <c r="O4">
        <v>307507.78985399997</v>
      </c>
      <c r="P4">
        <f t="shared" si="6"/>
        <v>1.674938388710424E-2</v>
      </c>
      <c r="Q4">
        <v>228603.532997</v>
      </c>
      <c r="R4">
        <f t="shared" si="7"/>
        <v>0.27795094539763421</v>
      </c>
      <c r="S4">
        <v>288206.04919599998</v>
      </c>
      <c r="T4">
        <f t="shared" si="8"/>
        <v>4.8065714272051363E-2</v>
      </c>
      <c r="U4">
        <v>333204.41415000003</v>
      </c>
      <c r="V4">
        <f t="shared" si="9"/>
        <v>9.6929516108521893E-2</v>
      </c>
    </row>
    <row r="5" spans="1:22" x14ac:dyDescent="0.3">
      <c r="A5" s="2">
        <v>45323</v>
      </c>
      <c r="B5" s="1">
        <v>287972</v>
      </c>
      <c r="C5">
        <v>290107.34593800001</v>
      </c>
      <c r="D5" s="7">
        <f t="shared" si="0"/>
        <v>7.3877261071667233E-3</v>
      </c>
      <c r="E5" s="3">
        <v>297327.70950900001</v>
      </c>
      <c r="F5" s="3">
        <f t="shared" si="1"/>
        <v>3.2368253855599341E-2</v>
      </c>
      <c r="G5" s="3">
        <v>280195.32125400001</v>
      </c>
      <c r="H5" s="3">
        <f t="shared" si="2"/>
        <v>2.7374607637891284E-2</v>
      </c>
      <c r="I5">
        <v>280973.441529</v>
      </c>
      <c r="J5">
        <f t="shared" si="3"/>
        <v>2.4601861479694342E-2</v>
      </c>
      <c r="K5">
        <v>289376.09571800003</v>
      </c>
      <c r="L5">
        <f t="shared" si="4"/>
        <v>4.8639485551740438E-3</v>
      </c>
      <c r="M5">
        <v>231745.08984299999</v>
      </c>
      <c r="N5">
        <f t="shared" si="5"/>
        <v>0.21637506734283243</v>
      </c>
      <c r="O5">
        <v>249432.439422</v>
      </c>
      <c r="P5">
        <f t="shared" si="6"/>
        <v>0.14342851584721125</v>
      </c>
      <c r="Q5">
        <v>230535.611737</v>
      </c>
      <c r="R5">
        <f t="shared" si="7"/>
        <v>0.2215450148189268</v>
      </c>
      <c r="S5">
        <v>242222.16514299999</v>
      </c>
      <c r="T5">
        <f t="shared" si="8"/>
        <v>0.17257766254240353</v>
      </c>
      <c r="U5">
        <v>312257.008546</v>
      </c>
      <c r="V5">
        <f t="shared" si="9"/>
        <v>8.0919143194455784E-2</v>
      </c>
    </row>
    <row r="6" spans="1:22" x14ac:dyDescent="0.3">
      <c r="A6" s="2">
        <v>45352</v>
      </c>
      <c r="B6" s="1">
        <v>253875</v>
      </c>
      <c r="C6">
        <v>289555.880435</v>
      </c>
      <c r="D6" s="7">
        <f t="shared" si="0"/>
        <v>0.13131708822449889</v>
      </c>
      <c r="E6" s="3">
        <v>301408.12138299999</v>
      </c>
      <c r="F6" s="3">
        <f t="shared" si="1"/>
        <v>0.17493713770903549</v>
      </c>
      <c r="G6" s="3">
        <v>265252.656678</v>
      </c>
      <c r="H6" s="3">
        <f t="shared" si="2"/>
        <v>4.3833752764427393E-2</v>
      </c>
      <c r="I6">
        <v>268169.561973</v>
      </c>
      <c r="J6">
        <f t="shared" si="3"/>
        <v>5.4763761618263213E-2</v>
      </c>
      <c r="K6">
        <v>288239.95940499997</v>
      </c>
      <c r="L6">
        <f t="shared" si="4"/>
        <v>0.12678107773567932</v>
      </c>
      <c r="M6">
        <v>234041.35758899999</v>
      </c>
      <c r="N6">
        <f t="shared" si="5"/>
        <v>8.1299354295094259E-2</v>
      </c>
      <c r="O6">
        <v>240238.526847</v>
      </c>
      <c r="P6">
        <f t="shared" si="6"/>
        <v>5.5195708727166545E-2</v>
      </c>
      <c r="Q6">
        <v>255797.39597000001</v>
      </c>
      <c r="R6">
        <f t="shared" si="7"/>
        <v>7.5436534730955575E-3</v>
      </c>
      <c r="S6">
        <v>273028.27825099998</v>
      </c>
      <c r="T6">
        <f t="shared" si="8"/>
        <v>7.2701306071115274E-2</v>
      </c>
      <c r="U6">
        <v>280272.67603999999</v>
      </c>
      <c r="V6">
        <f t="shared" si="9"/>
        <v>9.8840366528237716E-2</v>
      </c>
    </row>
    <row r="7" spans="1:22" x14ac:dyDescent="0.3">
      <c r="A7" s="2">
        <v>45383</v>
      </c>
      <c r="B7" s="1">
        <v>285937</v>
      </c>
      <c r="C7" s="3">
        <v>280341.08559999999</v>
      </c>
      <c r="D7" s="7">
        <f t="shared" si="0"/>
        <v>1.9763838800404426E-2</v>
      </c>
      <c r="E7" s="3">
        <v>294932.98700299999</v>
      </c>
      <c r="F7" s="3">
        <f t="shared" si="1"/>
        <v>3.1772329644253451E-2</v>
      </c>
      <c r="G7" s="3">
        <v>218589.262131</v>
      </c>
      <c r="H7" s="3">
        <f t="shared" si="2"/>
        <v>0.26697416140257607</v>
      </c>
      <c r="I7">
        <v>236391.52709700001</v>
      </c>
      <c r="J7">
        <f t="shared" si="3"/>
        <v>0.1897100017813082</v>
      </c>
      <c r="K7">
        <v>283391.72851699998</v>
      </c>
      <c r="L7">
        <f t="shared" si="4"/>
        <v>8.9413070358490346E-3</v>
      </c>
      <c r="M7">
        <v>285637.19904400001</v>
      </c>
      <c r="N7">
        <f t="shared" si="5"/>
        <v>1.0490360009301717E-3</v>
      </c>
      <c r="O7">
        <v>280689.48755100003</v>
      </c>
      <c r="P7">
        <f t="shared" si="6"/>
        <v>1.8521945458921607E-2</v>
      </c>
      <c r="Q7">
        <v>310706.81491999998</v>
      </c>
      <c r="R7">
        <f t="shared" si="7"/>
        <v>8.3030492567231898E-2</v>
      </c>
      <c r="S7">
        <v>292846.92537200003</v>
      </c>
      <c r="T7">
        <f t="shared" si="8"/>
        <v>2.3877392128880674E-2</v>
      </c>
      <c r="U7">
        <v>379333.51536000002</v>
      </c>
      <c r="V7">
        <f t="shared" si="9"/>
        <v>0.28077755801175119</v>
      </c>
    </row>
    <row r="9" spans="1:22" x14ac:dyDescent="0.3">
      <c r="A9" t="s">
        <v>11</v>
      </c>
      <c r="C9" s="5">
        <v>0.1134</v>
      </c>
      <c r="D9" s="7"/>
      <c r="E9" s="6">
        <v>0.1275</v>
      </c>
      <c r="F9" s="8"/>
      <c r="G9" s="6">
        <v>0.12620000000000001</v>
      </c>
      <c r="H9" s="8"/>
      <c r="I9" s="5">
        <v>0.16059999999999999</v>
      </c>
      <c r="J9" s="7"/>
      <c r="K9" s="5">
        <v>0.113</v>
      </c>
      <c r="L9" s="7"/>
      <c r="M9" s="5">
        <v>0.15090000000000001</v>
      </c>
      <c r="N9" s="7"/>
      <c r="O9" s="5">
        <v>0.13919999999999999</v>
      </c>
      <c r="P9" s="7"/>
      <c r="Q9" s="5">
        <v>0.1885</v>
      </c>
      <c r="R9" s="7"/>
      <c r="S9" s="5">
        <v>0.13719999999999999</v>
      </c>
      <c r="U9" s="5">
        <v>0.26669999999999999</v>
      </c>
    </row>
    <row r="10" spans="1:22" x14ac:dyDescent="0.3">
      <c r="A10" t="s">
        <v>25</v>
      </c>
      <c r="C10" s="7">
        <v>1655179414.1199999</v>
      </c>
      <c r="E10" s="3">
        <v>2050438874.4000001</v>
      </c>
      <c r="G10" s="8">
        <v>2632001484.8499999</v>
      </c>
      <c r="I10">
        <v>2973684072.4400001</v>
      </c>
      <c r="K10">
        <v>1695035931</v>
      </c>
      <c r="M10" s="7">
        <v>5351273816.3599997</v>
      </c>
      <c r="N10" s="7"/>
      <c r="O10" s="7">
        <v>5103826022.9099998</v>
      </c>
      <c r="P10" s="7"/>
      <c r="Q10">
        <v>6413427414.4700003</v>
      </c>
      <c r="R10" s="7"/>
      <c r="S10">
        <v>3672189549.0300002</v>
      </c>
      <c r="T10" s="7"/>
      <c r="U10">
        <v>8376548483.1700001</v>
      </c>
      <c r="V10" s="7"/>
    </row>
    <row r="11" spans="1:22" x14ac:dyDescent="0.3">
      <c r="A11" t="s">
        <v>33</v>
      </c>
      <c r="C11">
        <v>31528.29</v>
      </c>
      <c r="D11" s="7"/>
      <c r="E11" s="3">
        <v>36172.429479999999</v>
      </c>
      <c r="G11">
        <v>38979.43563</v>
      </c>
      <c r="I11">
        <v>44131.089919999999</v>
      </c>
      <c r="K11">
        <v>31195.99077</v>
      </c>
      <c r="M11">
        <v>46986.615230000003</v>
      </c>
      <c r="O11">
        <v>43589.377670000002</v>
      </c>
      <c r="Q11">
        <v>58813.733229999998</v>
      </c>
      <c r="S11">
        <v>42185.571709999997</v>
      </c>
      <c r="U11">
        <v>75851.698130000004</v>
      </c>
    </row>
    <row r="12" spans="1:22" x14ac:dyDescent="0.3">
      <c r="A12" t="s">
        <v>26</v>
      </c>
      <c r="C12">
        <v>40683.896249999998</v>
      </c>
      <c r="E12" s="3">
        <v>45281.771990000001</v>
      </c>
      <c r="G12">
        <v>51303.035819999997</v>
      </c>
      <c r="I12">
        <v>54531.496149999999</v>
      </c>
      <c r="K12">
        <v>41170.81407</v>
      </c>
      <c r="M12">
        <v>73152.401299999998</v>
      </c>
      <c r="O12">
        <v>71441.066779999994</v>
      </c>
      <c r="Q12">
        <v>80083.877370000002</v>
      </c>
      <c r="S12">
        <v>60598.59362</v>
      </c>
      <c r="U12">
        <v>91523.485960000005</v>
      </c>
    </row>
    <row r="13" spans="1:22" x14ac:dyDescent="0.3">
      <c r="A13" t="s">
        <v>34</v>
      </c>
      <c r="C13" s="7">
        <f>AVERAGE(D2:D7)*100</f>
        <v>10.953560259253049</v>
      </c>
      <c r="E13" s="10">
        <f>AVERAGE(F2:F7)</f>
        <v>0.12478462216732732</v>
      </c>
      <c r="G13" s="5">
        <f>AVERAGE(H2:H7)</f>
        <v>0.14071793683581546</v>
      </c>
      <c r="I13" s="5">
        <f>AVERAGE(J2:J7)</f>
        <v>0.16124970834521898</v>
      </c>
      <c r="K13">
        <f>AVERAGE(L2:L7)*100</f>
        <v>10.864021968024185</v>
      </c>
      <c r="M13">
        <f>AVERAGE(N2:N7)*100</f>
        <v>17.869067367667849</v>
      </c>
      <c r="O13">
        <f>AVERAGE(P2:P7)*100</f>
        <v>16.461378769762263</v>
      </c>
      <c r="Q13">
        <f>AVERAGE(R2:R7)*100</f>
        <v>22.17953579639099</v>
      </c>
      <c r="S13">
        <f>AVERAGE(T2:T7)*100</f>
        <v>15.376526407349736</v>
      </c>
      <c r="U13">
        <f>AVERAGE(V2:V7)*100</f>
        <v>25.373102200111969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33A6-5BC5-42F9-ABE0-43A83F09CE15}">
  <dimension ref="A1:P24"/>
  <sheetViews>
    <sheetView topLeftCell="A9" workbookViewId="0">
      <selection activeCell="A20" sqref="A20:C24"/>
    </sheetView>
  </sheetViews>
  <sheetFormatPr defaultRowHeight="14.4" x14ac:dyDescent="0.3"/>
  <cols>
    <col min="1" max="1" width="13.33203125" customWidth="1"/>
    <col min="2" max="2" width="19.77734375" customWidth="1"/>
    <col min="3" max="3" width="20.33203125" customWidth="1"/>
    <col min="4" max="4" width="22.44140625" customWidth="1"/>
    <col min="5" max="6" width="22" customWidth="1"/>
    <col min="7" max="8" width="22.21875" customWidth="1"/>
    <col min="9" max="10" width="21" customWidth="1"/>
    <col min="11" max="12" width="19.21875" customWidth="1"/>
    <col min="13" max="14" width="21.33203125" customWidth="1"/>
    <col min="15" max="15" width="20.77734375" customWidth="1"/>
    <col min="16" max="16" width="11.88671875" customWidth="1"/>
  </cols>
  <sheetData>
    <row r="1" spans="1:1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16" x14ac:dyDescent="0.3">
      <c r="A2" s="2">
        <v>45231</v>
      </c>
      <c r="B2">
        <v>80.829322000000005</v>
      </c>
      <c r="C2">
        <v>79.586089999999999</v>
      </c>
      <c r="D2">
        <v>78.634422999999998</v>
      </c>
      <c r="E2">
        <v>87.869523000000001</v>
      </c>
      <c r="F2">
        <v>78.057657000000006</v>
      </c>
      <c r="G2">
        <v>77.105990000000006</v>
      </c>
      <c r="H2">
        <v>77.105990000000006</v>
      </c>
    </row>
    <row r="3" spans="1:16" x14ac:dyDescent="0.3">
      <c r="A3" s="2">
        <v>45261</v>
      </c>
      <c r="B3">
        <v>124.26796899999999</v>
      </c>
      <c r="C3">
        <v>123.673626</v>
      </c>
      <c r="D3">
        <v>111.638521</v>
      </c>
      <c r="E3">
        <v>130.39044100000001</v>
      </c>
      <c r="F3">
        <v>123.994705</v>
      </c>
      <c r="G3">
        <v>111.95959999999999</v>
      </c>
      <c r="H3">
        <v>111.95959999999999</v>
      </c>
    </row>
    <row r="4" spans="1:16" x14ac:dyDescent="0.3">
      <c r="A4" s="2">
        <v>45292</v>
      </c>
      <c r="B4">
        <v>94.975899999999996</v>
      </c>
      <c r="C4">
        <v>95.566811999999999</v>
      </c>
      <c r="D4">
        <v>88.348741000000004</v>
      </c>
      <c r="E4">
        <v>84.201564000000005</v>
      </c>
      <c r="F4">
        <v>94.633903000000004</v>
      </c>
      <c r="G4">
        <v>87.415831999999995</v>
      </c>
      <c r="H4">
        <v>87.415831999999995</v>
      </c>
    </row>
    <row r="5" spans="1:16" x14ac:dyDescent="0.3">
      <c r="A5" s="2">
        <v>45323</v>
      </c>
      <c r="B5">
        <v>100.78464700000001</v>
      </c>
      <c r="C5">
        <v>102.16527000000001</v>
      </c>
      <c r="D5">
        <v>99.190607999999997</v>
      </c>
      <c r="E5">
        <v>99.325710999999998</v>
      </c>
      <c r="F5">
        <v>101.86820299999999</v>
      </c>
      <c r="G5">
        <v>98.893540999999999</v>
      </c>
      <c r="H5">
        <v>98.893540999999999</v>
      </c>
    </row>
    <row r="6" spans="1:16" x14ac:dyDescent="0.3">
      <c r="A6" s="2">
        <v>45352</v>
      </c>
      <c r="B6">
        <v>114.044392</v>
      </c>
      <c r="C6">
        <v>116.637827</v>
      </c>
      <c r="D6">
        <v>109.517105</v>
      </c>
      <c r="E6">
        <v>110.091582</v>
      </c>
      <c r="F6">
        <v>116.12960699999999</v>
      </c>
      <c r="G6">
        <v>109.00888500000001</v>
      </c>
      <c r="H6">
        <v>109.00888500000001</v>
      </c>
    </row>
    <row r="7" spans="1:16" x14ac:dyDescent="0.3">
      <c r="A7" s="2">
        <v>45383</v>
      </c>
      <c r="B7">
        <v>99.586618999999999</v>
      </c>
      <c r="C7">
        <v>101.604766</v>
      </c>
      <c r="D7">
        <v>88.255020999999999</v>
      </c>
      <c r="E7">
        <v>91.367991000000004</v>
      </c>
      <c r="F7">
        <v>101.127996</v>
      </c>
      <c r="G7">
        <v>87.77825</v>
      </c>
      <c r="H7">
        <v>87.77825</v>
      </c>
    </row>
    <row r="12" spans="1:16" x14ac:dyDescent="0.3">
      <c r="A12" t="s">
        <v>13</v>
      </c>
      <c r="B12" t="s">
        <v>1</v>
      </c>
      <c r="C12" t="s">
        <v>14</v>
      </c>
      <c r="E12" t="s">
        <v>15</v>
      </c>
      <c r="G12" t="s">
        <v>16</v>
      </c>
      <c r="I12" t="s">
        <v>17</v>
      </c>
      <c r="K12" t="s">
        <v>18</v>
      </c>
      <c r="M12" t="s">
        <v>19</v>
      </c>
      <c r="O12" t="s">
        <v>20</v>
      </c>
    </row>
    <row r="13" spans="1:16" x14ac:dyDescent="0.3">
      <c r="A13" s="2">
        <v>45231</v>
      </c>
      <c r="B13" s="1">
        <v>349500</v>
      </c>
      <c r="C13">
        <v>282498.48138700001</v>
      </c>
      <c r="D13">
        <f>ABS(B13-C13)/B13*100</f>
        <v>19.170677714735334</v>
      </c>
      <c r="E13">
        <v>278153.385503</v>
      </c>
      <c r="F13">
        <f>ABS(B13-E13)/B13*100</f>
        <v>20.41390972732475</v>
      </c>
      <c r="G13">
        <v>274827.30916599999</v>
      </c>
      <c r="H13">
        <f>ABS(B13-G13)/B13*100</f>
        <v>21.365576776537914</v>
      </c>
      <c r="I13">
        <v>307103.98415099998</v>
      </c>
      <c r="J13">
        <f>ABS(B13-I13)/B13*100</f>
        <v>12.130476637768245</v>
      </c>
      <c r="K13">
        <v>272811.51266200002</v>
      </c>
      <c r="L13">
        <f>ABS(B13-K13)/B13*100</f>
        <v>21.942342585979965</v>
      </c>
      <c r="M13">
        <v>265140.34044200002</v>
      </c>
      <c r="N13">
        <f>ABS(B13-M13)/B13*100</f>
        <v>24.137241647496417</v>
      </c>
      <c r="O13">
        <v>269485.43632500002</v>
      </c>
      <c r="P13">
        <f>ABS(B13-O13)/B13*100</f>
        <v>22.894009635193129</v>
      </c>
    </row>
    <row r="14" spans="1:16" x14ac:dyDescent="0.3">
      <c r="A14" s="2">
        <v>45261</v>
      </c>
      <c r="B14" s="1">
        <v>237928</v>
      </c>
      <c r="C14">
        <v>295668.29275399999</v>
      </c>
      <c r="D14">
        <f>ABS(B14-C14)/B14*100</f>
        <v>24.26796877794963</v>
      </c>
      <c r="E14">
        <v>294254.18564500002</v>
      </c>
      <c r="F14">
        <f>ABS(B14-E14)/B14*100</f>
        <v>23.673626326031414</v>
      </c>
      <c r="G14">
        <v>265619.30123899999</v>
      </c>
      <c r="H14">
        <f>ABS(B14-G14)/B14*100</f>
        <v>11.638521417823878</v>
      </c>
      <c r="I14">
        <v>310235.36734300002</v>
      </c>
      <c r="J14">
        <f>ABS(B14-I14)/B14*100</f>
        <v>30.390440529487922</v>
      </c>
      <c r="K14">
        <v>295018.12255199999</v>
      </c>
      <c r="L14">
        <f>ABS(B14-K14)/B14*100</f>
        <v>23.994705352879858</v>
      </c>
      <c r="M14">
        <v>264969.13103699998</v>
      </c>
      <c r="N14">
        <f>ABS(B14-M14)/B14*100</f>
        <v>11.365257992754103</v>
      </c>
      <c r="O14">
        <v>266383.23814600002</v>
      </c>
      <c r="P14">
        <f>ABS(B14-O14)/B14*100</f>
        <v>11.959600444672345</v>
      </c>
    </row>
    <row r="15" spans="1:16" x14ac:dyDescent="0.3">
      <c r="A15" s="2">
        <v>45292</v>
      </c>
      <c r="B15" s="1">
        <v>302400</v>
      </c>
      <c r="C15">
        <v>287207.12145899999</v>
      </c>
      <c r="D15">
        <f>ABS(B15-C15)/B15*100</f>
        <v>5.0241000466269883</v>
      </c>
      <c r="E15">
        <v>288994.03974400001</v>
      </c>
      <c r="F15">
        <f>ABS(B15-E15)/B15*100</f>
        <v>4.4331879153439129</v>
      </c>
      <c r="G15">
        <v>267166.59428000002</v>
      </c>
      <c r="H15">
        <f>ABS(B15-G15)/B15*100</f>
        <v>11.651258505290999</v>
      </c>
      <c r="I15">
        <v>254625.52921400001</v>
      </c>
      <c r="J15">
        <f>ABS(B15-I15)/B15*100</f>
        <v>15.798436106481478</v>
      </c>
      <c r="K15">
        <v>286172.92139099998</v>
      </c>
      <c r="L15">
        <f>ABS(B15-K15)/B15*100</f>
        <v>5.3660974236111176</v>
      </c>
      <c r="M15">
        <v>266132.39421200001</v>
      </c>
      <c r="N15">
        <f>ABS(B15-M15)/B15*100</f>
        <v>11.993255882275127</v>
      </c>
      <c r="O15">
        <v>264345.47592699999</v>
      </c>
      <c r="P15">
        <f>ABS(B15-O15)/B15*100</f>
        <v>12.584168013558203</v>
      </c>
    </row>
    <row r="16" spans="1:16" x14ac:dyDescent="0.3">
      <c r="A16" s="2">
        <v>45323</v>
      </c>
      <c r="B16" s="1">
        <v>287972</v>
      </c>
      <c r="C16">
        <v>290231.56401500001</v>
      </c>
      <c r="D16">
        <f>ABS(B16-C16)/B16*100</f>
        <v>0.78464712367869471</v>
      </c>
      <c r="E16">
        <v>294207.37091</v>
      </c>
      <c r="F16">
        <f>ABS(B16-E16)/B16*100</f>
        <v>2.1652698560971197</v>
      </c>
      <c r="G16">
        <v>285641.176783</v>
      </c>
      <c r="H16">
        <f>ABS(B16-G16)/B16*100</f>
        <v>0.80939230793271488</v>
      </c>
      <c r="I16">
        <v>286030.23692</v>
      </c>
      <c r="J16">
        <f>ABS(B16-I16)/B16*100</f>
        <v>0.67428884752684437</v>
      </c>
      <c r="K16">
        <v>293351.90261400002</v>
      </c>
      <c r="L16">
        <f>ABS(B16-K16)/B16*100</f>
        <v>1.8682033718556041</v>
      </c>
      <c r="M16">
        <v>288761.51538200001</v>
      </c>
      <c r="N16">
        <f>ABS(B16-M16)/B16*100</f>
        <v>0.27416394024419466</v>
      </c>
      <c r="O16">
        <v>284785.70848600002</v>
      </c>
      <c r="P16">
        <f>ABS(B16-O16)/B16*100</f>
        <v>1.106458792521489</v>
      </c>
    </row>
    <row r="17" spans="1:16" x14ac:dyDescent="0.3">
      <c r="A17" s="2">
        <v>45352</v>
      </c>
      <c r="B17" s="1">
        <v>253875</v>
      </c>
      <c r="C17">
        <v>289530.20145200001</v>
      </c>
      <c r="D17">
        <f>ABS(B17-C17)/B17*100</f>
        <v>14.044392497095028</v>
      </c>
      <c r="E17">
        <v>296114.28244099999</v>
      </c>
      <c r="F17">
        <f>ABS(B17-E17)/B17*100</f>
        <v>16.637826663121611</v>
      </c>
      <c r="G17">
        <v>278036.55008900003</v>
      </c>
      <c r="H17">
        <f>ABS(B17-G17)/B17*100</f>
        <v>9.5171049095027183</v>
      </c>
      <c r="I17">
        <v>279495.00273599999</v>
      </c>
      <c r="J17">
        <f>ABS(B17-I17)/B17*100</f>
        <v>10.091581579911372</v>
      </c>
      <c r="K17">
        <v>294824.04039400001</v>
      </c>
      <c r="L17">
        <f>ABS(B17-K17)/B17*100</f>
        <v>16.129607245297887</v>
      </c>
      <c r="M17">
        <v>283330.38903000002</v>
      </c>
      <c r="N17">
        <f>ABS(B17-M17)/B17*100</f>
        <v>11.602319657311677</v>
      </c>
      <c r="O17">
        <v>276746.30804099998</v>
      </c>
      <c r="P17">
        <f>ABS(B17-O17)/B17*100</f>
        <v>9.0088854912850742</v>
      </c>
    </row>
    <row r="18" spans="1:16" x14ac:dyDescent="0.3">
      <c r="A18" s="2">
        <v>45383</v>
      </c>
      <c r="B18" s="1">
        <v>285937</v>
      </c>
      <c r="C18">
        <v>284754.99177800003</v>
      </c>
      <c r="D18">
        <f>ABS(B18-C18)/B18*100</f>
        <v>0.41338064748527642</v>
      </c>
      <c r="E18">
        <v>290525.62102100003</v>
      </c>
      <c r="F18">
        <f>ABS(B18-E18)/B18*100</f>
        <v>1.6047664419085423</v>
      </c>
      <c r="G18">
        <v>252353.758585</v>
      </c>
      <c r="H18">
        <f>ABS(B18-G18)/B18*100</f>
        <v>11.7449792838982</v>
      </c>
      <c r="I18">
        <v>261254.891068</v>
      </c>
      <c r="J18">
        <f>ABS(B18-I18)/B18*100</f>
        <v>8.6320094748143834</v>
      </c>
      <c r="K18">
        <v>289162.35775999998</v>
      </c>
      <c r="L18">
        <f>ABS(B18-K18)/B18*100</f>
        <v>1.1279959431622995</v>
      </c>
      <c r="M18">
        <v>256761.12456699999</v>
      </c>
      <c r="N18">
        <f>ABS(B18-M18)/B18*100</f>
        <v>10.203602693250614</v>
      </c>
      <c r="O18">
        <v>250990.49532399999</v>
      </c>
      <c r="P18">
        <f>ABS(B18-O18)/B18*100</f>
        <v>12.221749782644432</v>
      </c>
    </row>
    <row r="20" spans="1:16" x14ac:dyDescent="0.3">
      <c r="A20" t="s">
        <v>11</v>
      </c>
      <c r="C20" s="5">
        <v>0.106</v>
      </c>
      <c r="E20" s="5">
        <v>0.11488</v>
      </c>
      <c r="G20" s="5">
        <v>0.11121</v>
      </c>
      <c r="I20" s="5">
        <v>0.1295</v>
      </c>
      <c r="K20" s="5">
        <v>0.11738</v>
      </c>
      <c r="M20" s="5">
        <v>0.1159</v>
      </c>
      <c r="O20" s="5">
        <v>0.11629</v>
      </c>
    </row>
    <row r="21" spans="1:16" x14ac:dyDescent="0.3">
      <c r="A21" t="s">
        <v>33</v>
      </c>
      <c r="C21">
        <v>29838.577270000002</v>
      </c>
    </row>
    <row r="22" spans="1:16" x14ac:dyDescent="0.3">
      <c r="A22" t="s">
        <v>25</v>
      </c>
      <c r="C22" s="7">
        <v>1555294104.28</v>
      </c>
    </row>
    <row r="23" spans="1:16" x14ac:dyDescent="0.3">
      <c r="A23" t="s">
        <v>26</v>
      </c>
      <c r="C23">
        <v>39437.217250000002</v>
      </c>
    </row>
    <row r="24" spans="1:16" x14ac:dyDescent="0.3">
      <c r="A24" t="s">
        <v>34</v>
      </c>
      <c r="C24" s="5">
        <v>0.1038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3E7E-D336-4126-AE43-BF95190DB493}">
  <dimension ref="A1:G31"/>
  <sheetViews>
    <sheetView tabSelected="1" zoomScaleNormal="100" workbookViewId="0">
      <selection activeCell="F28" sqref="F28"/>
    </sheetView>
  </sheetViews>
  <sheetFormatPr defaultRowHeight="14.4" x14ac:dyDescent="0.3"/>
  <cols>
    <col min="2" max="2" width="26.5546875" customWidth="1"/>
    <col min="3" max="3" width="22.77734375" customWidth="1"/>
    <col min="4" max="4" width="29.6640625" customWidth="1"/>
    <col min="5" max="5" width="19" customWidth="1"/>
    <col min="6" max="6" width="15.44140625" customWidth="1"/>
    <col min="7" max="7" width="38.44140625" customWidth="1"/>
    <col min="11" max="11" width="12.109375" customWidth="1"/>
  </cols>
  <sheetData>
    <row r="1" spans="1:7" x14ac:dyDescent="0.3">
      <c r="A1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</row>
    <row r="2" spans="1:7" x14ac:dyDescent="0.3">
      <c r="C2" s="9"/>
      <c r="D2" s="9"/>
      <c r="E2" s="9"/>
      <c r="F2" s="9"/>
      <c r="G2" s="9"/>
    </row>
    <row r="3" spans="1:7" x14ac:dyDescent="0.3">
      <c r="A3">
        <v>1</v>
      </c>
      <c r="B3" t="s">
        <v>28</v>
      </c>
      <c r="C3">
        <v>31528.29</v>
      </c>
      <c r="D3" s="5">
        <v>0.1134</v>
      </c>
      <c r="E3" s="7">
        <v>1655179414.1199999</v>
      </c>
      <c r="F3">
        <v>40683.896249999998</v>
      </c>
      <c r="G3" s="5">
        <v>0.1095</v>
      </c>
    </row>
    <row r="4" spans="1:7" x14ac:dyDescent="0.3">
      <c r="A4">
        <v>2</v>
      </c>
      <c r="B4" t="s">
        <v>3</v>
      </c>
      <c r="C4" s="3">
        <v>36172.429479999999</v>
      </c>
      <c r="D4" s="5">
        <v>0.1275</v>
      </c>
      <c r="E4" s="8">
        <v>2050438874.4000001</v>
      </c>
      <c r="F4" s="3">
        <v>45281.771990000001</v>
      </c>
      <c r="G4" s="5">
        <v>0.12479999999999999</v>
      </c>
    </row>
    <row r="5" spans="1:7" x14ac:dyDescent="0.3">
      <c r="A5">
        <v>3</v>
      </c>
      <c r="B5" t="s">
        <v>29</v>
      </c>
      <c r="C5">
        <v>38979.43563</v>
      </c>
      <c r="D5" s="5">
        <v>0.12620000000000001</v>
      </c>
      <c r="E5" s="8">
        <v>2632001484.8499999</v>
      </c>
      <c r="F5">
        <v>51303.035819999997</v>
      </c>
      <c r="G5" s="5">
        <v>0.14069999999999999</v>
      </c>
    </row>
    <row r="6" spans="1:7" x14ac:dyDescent="0.3">
      <c r="A6">
        <v>4</v>
      </c>
      <c r="B6" t="s">
        <v>5</v>
      </c>
      <c r="C6">
        <v>44131.089919999999</v>
      </c>
      <c r="D6" s="5">
        <v>0.16059999999999999</v>
      </c>
      <c r="E6" s="7">
        <v>2973684072.4400001</v>
      </c>
      <c r="F6">
        <v>54531.496149999999</v>
      </c>
      <c r="G6" s="5">
        <v>0.16120000000000001</v>
      </c>
    </row>
    <row r="7" spans="1:7" x14ac:dyDescent="0.3">
      <c r="A7">
        <v>5</v>
      </c>
      <c r="B7" t="s">
        <v>6</v>
      </c>
      <c r="C7">
        <v>31195.99077</v>
      </c>
      <c r="D7" s="5">
        <v>0.113</v>
      </c>
      <c r="E7">
        <v>1695035931</v>
      </c>
      <c r="F7">
        <v>41170.81407</v>
      </c>
      <c r="G7" s="5">
        <v>0.1086</v>
      </c>
    </row>
    <row r="8" spans="1:7" x14ac:dyDescent="0.3">
      <c r="A8">
        <v>6</v>
      </c>
      <c r="B8" t="s">
        <v>12</v>
      </c>
      <c r="C8">
        <v>75851.698130000004</v>
      </c>
      <c r="D8" s="5">
        <v>0.26669999999999999</v>
      </c>
      <c r="E8" s="7">
        <v>8376548483</v>
      </c>
      <c r="F8">
        <v>91523.485960000005</v>
      </c>
      <c r="G8" s="5">
        <v>0.25369999999999998</v>
      </c>
    </row>
    <row r="9" spans="1:7" x14ac:dyDescent="0.3">
      <c r="A9">
        <v>7</v>
      </c>
      <c r="B9" t="s">
        <v>30</v>
      </c>
      <c r="C9">
        <v>46986.615230000003</v>
      </c>
      <c r="D9" s="5">
        <v>0.15090000000000001</v>
      </c>
      <c r="E9">
        <v>531273816.36000001</v>
      </c>
      <c r="F9">
        <v>73152.401299999998</v>
      </c>
      <c r="G9" s="5">
        <v>0.17860000000000001</v>
      </c>
    </row>
    <row r="10" spans="1:7" x14ac:dyDescent="0.3">
      <c r="A10">
        <v>8</v>
      </c>
      <c r="B10" t="s">
        <v>31</v>
      </c>
      <c r="C10">
        <v>43589.377670000002</v>
      </c>
      <c r="D10" s="5">
        <v>0.13919999999999999</v>
      </c>
      <c r="E10">
        <v>5103826023</v>
      </c>
      <c r="F10">
        <v>71441.066779999994</v>
      </c>
      <c r="G10" s="5">
        <v>0.1646</v>
      </c>
    </row>
    <row r="11" spans="1:7" x14ac:dyDescent="0.3">
      <c r="A11">
        <v>9</v>
      </c>
      <c r="B11" t="s">
        <v>9</v>
      </c>
      <c r="C11">
        <v>58813.733229999998</v>
      </c>
      <c r="D11" s="5">
        <v>0.1885</v>
      </c>
      <c r="E11">
        <v>6413427414</v>
      </c>
      <c r="F11">
        <v>80083.877370000002</v>
      </c>
      <c r="G11" s="5">
        <v>0.2117</v>
      </c>
    </row>
    <row r="12" spans="1:7" x14ac:dyDescent="0.3">
      <c r="A12">
        <v>10</v>
      </c>
      <c r="B12" t="s">
        <v>32</v>
      </c>
      <c r="C12">
        <v>42185.571709999997</v>
      </c>
      <c r="D12" s="5">
        <v>0.13719999999999999</v>
      </c>
      <c r="E12">
        <v>3672189549</v>
      </c>
      <c r="F12">
        <v>60598.59362</v>
      </c>
      <c r="G12" s="5">
        <v>0.1537</v>
      </c>
    </row>
    <row r="16" spans="1:7" x14ac:dyDescent="0.3">
      <c r="D16" s="7"/>
      <c r="E16" s="3"/>
    </row>
    <row r="17" spans="1:7" x14ac:dyDescent="0.3">
      <c r="E17" s="3"/>
    </row>
    <row r="18" spans="1:7" x14ac:dyDescent="0.3">
      <c r="A18" t="s">
        <v>21</v>
      </c>
      <c r="B18" s="9" t="s">
        <v>22</v>
      </c>
      <c r="C18" s="9" t="s">
        <v>23</v>
      </c>
      <c r="D18" s="9" t="s">
        <v>24</v>
      </c>
      <c r="E18" s="9" t="s">
        <v>25</v>
      </c>
      <c r="F18" s="9" t="s">
        <v>26</v>
      </c>
      <c r="G18" s="9" t="s">
        <v>27</v>
      </c>
    </row>
    <row r="20" spans="1:7" x14ac:dyDescent="0.3">
      <c r="A20">
        <v>1</v>
      </c>
      <c r="B20" t="s">
        <v>14</v>
      </c>
      <c r="C20">
        <v>29838.577270000002</v>
      </c>
      <c r="D20" s="5">
        <v>0.106</v>
      </c>
      <c r="E20" s="7">
        <v>1555294104.28</v>
      </c>
      <c r="F20">
        <v>39437.217250000002</v>
      </c>
      <c r="G20" s="5">
        <v>0.1038</v>
      </c>
    </row>
    <row r="27" spans="1:7" x14ac:dyDescent="0.3">
      <c r="D27" s="5"/>
    </row>
    <row r="29" spans="1:7" x14ac:dyDescent="0.3">
      <c r="D29" s="7"/>
    </row>
    <row r="31" spans="1:7" x14ac:dyDescent="0.3">
      <c r="D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katukuri</dc:creator>
  <cp:lastModifiedBy>charan katukuri</cp:lastModifiedBy>
  <dcterms:created xsi:type="dcterms:W3CDTF">2024-07-21T06:46:39Z</dcterms:created>
  <dcterms:modified xsi:type="dcterms:W3CDTF">2024-07-22T11:29:02Z</dcterms:modified>
</cp:coreProperties>
</file>